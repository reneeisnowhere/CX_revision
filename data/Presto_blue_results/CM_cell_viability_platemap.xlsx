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e\Documents\Ward Lab\CX-revision\"/>
    </mc:Choice>
  </mc:AlternateContent>
  <xr:revisionPtr revIDLastSave="0" documentId="13_ncr:1_{0B5A0A44-DFE9-4675-A86C-D3E410A1A481}" xr6:coauthVersionLast="47" xr6:coauthVersionMax="47" xr10:uidLastSave="{00000000-0000-0000-0000-000000000000}"/>
  <bookViews>
    <workbookView xWindow="-108" yWindow="-108" windowWidth="23256" windowHeight="13896" xr2:uid="{28653B21-1CD7-4314-9338-8FB3C8602972}"/>
  </bookViews>
  <sheets>
    <sheet name="Plate_map" sheetId="1" r:id="rId1"/>
    <sheet name="dilution_info" sheetId="3" r:id="rId2"/>
    <sheet name="experimental_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11" i="3" s="1"/>
  <c r="G11" i="3"/>
  <c r="E11" i="3"/>
  <c r="G10" i="3"/>
  <c r="E10" i="3"/>
</calcChain>
</file>

<file path=xl/sharedStrings.xml><?xml version="1.0" encoding="utf-8"?>
<sst xmlns="http://schemas.openxmlformats.org/spreadsheetml/2006/main" count="268" uniqueCount="127">
  <si>
    <t>A</t>
  </si>
  <si>
    <t>Blank</t>
  </si>
  <si>
    <t>B</t>
  </si>
  <si>
    <t>C</t>
  </si>
  <si>
    <t>D</t>
  </si>
  <si>
    <t>E</t>
  </si>
  <si>
    <t>F</t>
  </si>
  <si>
    <t>G</t>
  </si>
  <si>
    <t>H</t>
  </si>
  <si>
    <t>empty</t>
  </si>
  <si>
    <t>CX_0.1</t>
  </si>
  <si>
    <t>CX_0.5</t>
  </si>
  <si>
    <t>VEH_0.5</t>
  </si>
  <si>
    <t>VEH_0.1</t>
  </si>
  <si>
    <t>DOX_0.5</t>
  </si>
  <si>
    <t>DOX_0.1</t>
  </si>
  <si>
    <t>untx_0</t>
  </si>
  <si>
    <t>VEH_2.5</t>
  </si>
  <si>
    <t>DOX_2.5</t>
  </si>
  <si>
    <t>CX_2.5</t>
  </si>
  <si>
    <t>cell line:</t>
  </si>
  <si>
    <t>date:</t>
  </si>
  <si>
    <t>Day 1:</t>
  </si>
  <si>
    <t>Step 1.</t>
  </si>
  <si>
    <t>Apply 100 uL Presto Blue to all wells (2 plates)</t>
  </si>
  <si>
    <t>Step 2.</t>
  </si>
  <si>
    <t>place in incubator for 1 hour in foil</t>
  </si>
  <si>
    <t>Step 3.</t>
  </si>
  <si>
    <t>remove 80 uL mix to optical plate for every well</t>
  </si>
  <si>
    <t xml:space="preserve">Step 4. </t>
  </si>
  <si>
    <t>Wash wells 2x with DPBS</t>
  </si>
  <si>
    <t>Step 5.</t>
  </si>
  <si>
    <t>Apply 100 uL of tx dilution to correct well</t>
  </si>
  <si>
    <t>Day 2:</t>
  </si>
  <si>
    <t>Do nothing</t>
  </si>
  <si>
    <t xml:space="preserve">Day 3: </t>
  </si>
  <si>
    <t>at correct treatment time, aspirate media and rinse with DPBS 2 times</t>
  </si>
  <si>
    <t xml:space="preserve">Apply 100 uL Presto Blue to all wells </t>
  </si>
  <si>
    <t xml:space="preserve">Step 3. </t>
  </si>
  <si>
    <t>Aspirate remaining mix and discard plate</t>
  </si>
  <si>
    <t>Read Flourecence on plate reader  560 excitation/ 590 emission</t>
  </si>
  <si>
    <t>Assuming 1 uM stock:</t>
  </si>
  <si>
    <t>stock</t>
  </si>
  <si>
    <t>galactose</t>
  </si>
  <si>
    <t>remaining</t>
  </si>
  <si>
    <t>0.5 uM</t>
  </si>
  <si>
    <t>0.1 uM</t>
  </si>
  <si>
    <t>CM time viability plan</t>
  </si>
  <si>
    <t>176  total wells, 100 uL per well, making 20 mL of Presto blue+ Gal mix= 2 mL presto blue + 18 mL galactose</t>
  </si>
  <si>
    <t>mM CX</t>
  </si>
  <si>
    <t>ul stock</t>
  </si>
  <si>
    <t>mM DOX</t>
  </si>
  <si>
    <t xml:space="preserve"> uL gal</t>
  </si>
  <si>
    <t>uL gal</t>
  </si>
  <si>
    <t>2.5 uM</t>
  </si>
  <si>
    <t xml:space="preserve">need 2 mL of each </t>
  </si>
  <si>
    <t>uL 2.5 uM</t>
  </si>
  <si>
    <t>4800 uL gal</t>
  </si>
  <si>
    <t>5760 uL gal</t>
  </si>
  <si>
    <t>6000 uL</t>
  </si>
  <si>
    <t>1200 uL 2.5 uM</t>
  </si>
  <si>
    <t>240 uL 2.5 uM</t>
  </si>
  <si>
    <t>25 uL stock</t>
  </si>
  <si>
    <t>9975 uL gal</t>
  </si>
  <si>
    <t>8560 uL</t>
  </si>
  <si>
    <t>treating 3x that day:  Only making 10 mL of 2.5 from stock</t>
  </si>
  <si>
    <t>78 tx time p4</t>
  </si>
  <si>
    <t>78 tx time p3</t>
  </si>
  <si>
    <t>78 tx time p2</t>
  </si>
  <si>
    <t>78 tx time p1</t>
  </si>
  <si>
    <t>87 tx time p1</t>
  </si>
  <si>
    <t>87 tx time p2</t>
  </si>
  <si>
    <t>87 tx time p3</t>
  </si>
  <si>
    <t>87 tx time p4</t>
  </si>
  <si>
    <t>75 tx time p1</t>
  </si>
  <si>
    <t>75 tx time p2</t>
  </si>
  <si>
    <t>75 tx time p3</t>
  </si>
  <si>
    <t>none</t>
  </si>
  <si>
    <t>6 mL gal</t>
  </si>
  <si>
    <t>Well</t>
  </si>
  <si>
    <t>tx_conc</t>
  </si>
  <si>
    <t>A5</t>
  </si>
  <si>
    <t>A6</t>
  </si>
  <si>
    <t>A7</t>
  </si>
  <si>
    <t>A8</t>
  </si>
  <si>
    <t>A9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</si>
  <si>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</si>
  <si>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</si>
  <si>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</si>
  <si>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</si>
  <si>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</si>
  <si>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</si>
  <si>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</si>
  <si>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</si>
  <si>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</si>
  <si>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</si>
  <si>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</si>
  <si>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</si>
  <si>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</si>
  <si>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</si>
  <si>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</si>
  <si>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</si>
  <si>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</si>
  <si>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</si>
  <si>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</si>
  <si>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</si>
  <si>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</si>
  <si>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</si>
  <si>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</si>
  <si>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</si>
  <si>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</si>
  <si>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</si>
  <si>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</si>
  <si>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</si>
  <si>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</si>
  <si>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</si>
  <si>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</si>
  <si>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</si>
  <si>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</si>
  <si>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</si>
  <si>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</si>
  <si>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</si>
  <si>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</si>
  <si>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</si>
  <si>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</si>
  <si>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</si>
  <si>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blank_blank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</si>
</sst>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right" vertical="center"/>
    </xf>
    <xf numFmtId="0" fontId="0" fillId="0" borderId="0" xfId="0" applyAlignment="1">
      <alignment horizontal="center" vertical="top"/>
    </xf>
    <xf numFmtId="0" fontId="0" fillId="0" borderId="7" xfId="0" applyBorder="1"/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center" vertical="top"/>
    </xf>
    <xf numFmtId="0" fontId="0" fillId="2" borderId="0" xfId="0" quotePrefix="1" applyFill="1"/>
    <xf numFmtId="0" fontId="0" fillId="2" borderId="7" xfId="0" applyFill="1" applyBorder="1"/>
    <xf numFmtId="0" fontId="0" fillId="7" borderId="7" xfId="0" applyFill="1" applyBorder="1"/>
    <xf numFmtId="0" fontId="0" fillId="2" borderId="7" xfId="0" applyFill="1" applyBorder="1" applyAlignment="1">
      <alignment horizontal="center"/>
    </xf>
    <xf numFmtId="0" fontId="0" fillId="4" borderId="7" xfId="0" applyFill="1" applyBorder="1"/>
    <xf numFmtId="0" fontId="2" fillId="2" borderId="7" xfId="0" applyFont="1" applyFill="1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7" borderId="0" xfId="0" applyFill="1"/>
    <xf numFmtId="0" fontId="0" fillId="2" borderId="7" xfId="0" applyFill="1" applyBorder="1" applyAlignment="1">
      <alignment horizontal="left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304802</xdr:colOff>
          <xdr:row>28</xdr:row>
          <xdr:rowOff>104775</xdr:rowOff>
        </xdr:from>
        <xdr:to>
          <xdr:col>7</xdr:col>
          <xdr:colOff>262891</xdr:colOff>
          <xdr:row>38</xdr:row>
          <xdr:rowOff>19050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CE0E96E-0573-D498-8AC2-3FFECD43E9A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late_map!$A$1:$M$9" spid="_x0000_s10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04802" y="7124700"/>
              <a:ext cx="5135879" cy="17202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02F5-7EAF-4A14-89C6-C154533E6A39}">
  <dimension ref="A1:M56"/>
  <sheetViews>
    <sheetView tabSelected="1" topLeftCell="A35" workbookViewId="0">
      <selection activeCell="H47" sqref="H47"/>
    </sheetView>
  </sheetViews>
  <sheetFormatPr defaultRowHeight="14.4" x14ac:dyDescent="0.3"/>
  <cols>
    <col min="1" max="1" width="4.6640625" bestFit="1" customWidth="1"/>
  </cols>
  <sheetData>
    <row r="1" spans="1:13" ht="15" thickBot="1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" thickBot="1" x14ac:dyDescent="0.35">
      <c r="A2" s="4" t="s">
        <v>0</v>
      </c>
      <c r="B2" s="7" t="s">
        <v>9</v>
      </c>
      <c r="C2" s="7" t="s">
        <v>9</v>
      </c>
      <c r="D2" s="7" t="s">
        <v>9</v>
      </c>
      <c r="E2" s="7" t="s">
        <v>9</v>
      </c>
      <c r="F2" s="5" t="s">
        <v>1</v>
      </c>
      <c r="G2" s="5" t="s">
        <v>1</v>
      </c>
      <c r="H2" s="5" t="s">
        <v>1</v>
      </c>
      <c r="I2" s="5" t="s">
        <v>1</v>
      </c>
      <c r="J2" s="7" t="s">
        <v>9</v>
      </c>
      <c r="K2" s="7" t="s">
        <v>9</v>
      </c>
      <c r="L2" s="7" t="s">
        <v>9</v>
      </c>
      <c r="M2" s="7" t="s">
        <v>9</v>
      </c>
    </row>
    <row r="3" spans="1:13" ht="15" thickBot="1" x14ac:dyDescent="0.35">
      <c r="A3" s="4" t="s">
        <v>2</v>
      </c>
      <c r="B3" s="7" t="s">
        <v>9</v>
      </c>
      <c r="C3" s="11" t="s">
        <v>19</v>
      </c>
      <c r="D3" s="11" t="s">
        <v>11</v>
      </c>
      <c r="E3" s="11" t="s">
        <v>10</v>
      </c>
      <c r="F3" s="10" t="s">
        <v>17</v>
      </c>
      <c r="G3" s="10" t="s">
        <v>12</v>
      </c>
      <c r="H3" s="10" t="s">
        <v>13</v>
      </c>
      <c r="I3" s="8" t="s">
        <v>18</v>
      </c>
      <c r="J3" s="8" t="s">
        <v>14</v>
      </c>
      <c r="K3" s="8" t="s">
        <v>15</v>
      </c>
      <c r="L3" s="9" t="s">
        <v>16</v>
      </c>
      <c r="M3" s="7" t="s">
        <v>9</v>
      </c>
    </row>
    <row r="4" spans="1:13" ht="15" thickBot="1" x14ac:dyDescent="0.35">
      <c r="A4" s="4" t="s">
        <v>3</v>
      </c>
      <c r="B4" s="7" t="s">
        <v>9</v>
      </c>
      <c r="C4" s="11" t="s">
        <v>19</v>
      </c>
      <c r="D4" s="11" t="s">
        <v>11</v>
      </c>
      <c r="E4" s="11" t="s">
        <v>10</v>
      </c>
      <c r="F4" s="10" t="s">
        <v>17</v>
      </c>
      <c r="G4" s="10" t="s">
        <v>12</v>
      </c>
      <c r="H4" s="10" t="s">
        <v>13</v>
      </c>
      <c r="I4" s="8" t="s">
        <v>18</v>
      </c>
      <c r="J4" s="8" t="s">
        <v>14</v>
      </c>
      <c r="K4" s="8" t="s">
        <v>15</v>
      </c>
      <c r="L4" s="9" t="s">
        <v>16</v>
      </c>
      <c r="M4" s="7" t="s">
        <v>9</v>
      </c>
    </row>
    <row r="5" spans="1:13" ht="15" thickBot="1" x14ac:dyDescent="0.35">
      <c r="A5" s="4" t="s">
        <v>4</v>
      </c>
      <c r="B5" s="7" t="s">
        <v>9</v>
      </c>
      <c r="C5" s="11" t="s">
        <v>19</v>
      </c>
      <c r="D5" s="11" t="s">
        <v>11</v>
      </c>
      <c r="E5" s="11" t="s">
        <v>10</v>
      </c>
      <c r="F5" s="10" t="s">
        <v>17</v>
      </c>
      <c r="G5" s="10" t="s">
        <v>12</v>
      </c>
      <c r="H5" s="10" t="s">
        <v>13</v>
      </c>
      <c r="I5" s="8" t="s">
        <v>18</v>
      </c>
      <c r="J5" s="8" t="s">
        <v>14</v>
      </c>
      <c r="K5" s="8" t="s">
        <v>15</v>
      </c>
      <c r="L5" s="9" t="s">
        <v>16</v>
      </c>
      <c r="M5" s="7" t="s">
        <v>9</v>
      </c>
    </row>
    <row r="6" spans="1:13" ht="15" thickBot="1" x14ac:dyDescent="0.35">
      <c r="A6" s="4" t="s">
        <v>5</v>
      </c>
      <c r="B6" s="7" t="s">
        <v>9</v>
      </c>
      <c r="C6" s="11" t="s">
        <v>19</v>
      </c>
      <c r="D6" s="11" t="s">
        <v>11</v>
      </c>
      <c r="E6" s="11" t="s">
        <v>10</v>
      </c>
      <c r="F6" s="10" t="s">
        <v>17</v>
      </c>
      <c r="G6" s="10" t="s">
        <v>12</v>
      </c>
      <c r="H6" s="10" t="s">
        <v>13</v>
      </c>
      <c r="I6" s="8" t="s">
        <v>18</v>
      </c>
      <c r="J6" s="8" t="s">
        <v>14</v>
      </c>
      <c r="K6" s="8" t="s">
        <v>15</v>
      </c>
      <c r="L6" s="9" t="s">
        <v>16</v>
      </c>
      <c r="M6" s="7" t="s">
        <v>9</v>
      </c>
    </row>
    <row r="7" spans="1:13" ht="15" thickBot="1" x14ac:dyDescent="0.35">
      <c r="A7" s="4" t="s">
        <v>6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  <c r="J7" s="7" t="s">
        <v>9</v>
      </c>
      <c r="K7" s="7" t="s">
        <v>9</v>
      </c>
      <c r="L7" s="7" t="s">
        <v>9</v>
      </c>
      <c r="M7" s="7" t="s">
        <v>9</v>
      </c>
    </row>
    <row r="8" spans="1:13" ht="15" thickBot="1" x14ac:dyDescent="0.35">
      <c r="A8" s="4" t="s">
        <v>7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  <c r="J8" s="7" t="s">
        <v>9</v>
      </c>
      <c r="K8" s="7" t="s">
        <v>9</v>
      </c>
      <c r="L8" s="7" t="s">
        <v>9</v>
      </c>
      <c r="M8" s="7" t="s">
        <v>9</v>
      </c>
    </row>
    <row r="9" spans="1:13" ht="15" thickBot="1" x14ac:dyDescent="0.35">
      <c r="A9" s="6" t="s">
        <v>8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  <c r="J9" s="7" t="s">
        <v>9</v>
      </c>
      <c r="K9" s="7" t="s">
        <v>9</v>
      </c>
      <c r="L9" s="7" t="s">
        <v>9</v>
      </c>
      <c r="M9" s="7" t="s">
        <v>9</v>
      </c>
    </row>
    <row r="11" spans="1:13" x14ac:dyDescent="0.3">
      <c r="A11" s="35" t="s">
        <v>79</v>
      </c>
      <c r="B11" s="36" t="s">
        <v>80</v>
      </c>
    </row>
    <row r="12" spans="1:13" x14ac:dyDescent="0.3">
      <c r="A12" s="37" t="s">
        <v>81</v>
      </c>
      <c r="B12" s="38" t="s">
        <v>126</v>
      </c>
    </row>
    <row r="13" spans="1:13" x14ac:dyDescent="0.3">
      <c r="A13" s="37" t="s">
        <v>82</v>
      </c>
      <c r="B13" s="38" t="s">
        <v>126</v>
      </c>
    </row>
    <row r="14" spans="1:13" x14ac:dyDescent="0.3">
      <c r="A14" s="37" t="s">
        <v>83</v>
      </c>
      <c r="B14" s="38" t="s">
        <v>126</v>
      </c>
    </row>
    <row r="15" spans="1:13" x14ac:dyDescent="0.3">
      <c r="A15" s="37" t="s">
        <v>84</v>
      </c>
      <c r="B15" s="38" t="s">
        <v>126</v>
      </c>
    </row>
    <row r="16" spans="1:13" x14ac:dyDescent="0.3">
      <c r="A16" s="37" t="s">
        <v>85</v>
      </c>
      <c r="B16" s="38" t="s">
        <v>126</v>
      </c>
    </row>
    <row r="17" spans="1:2" ht="15" thickBot="1" x14ac:dyDescent="0.35">
      <c r="A17" s="37" t="s">
        <v>86</v>
      </c>
      <c r="B17" s="11" t="s">
        <v>19</v>
      </c>
    </row>
    <row r="18" spans="1:2" ht="15" thickBot="1" x14ac:dyDescent="0.35">
      <c r="A18" s="37" t="s">
        <v>87</v>
      </c>
      <c r="B18" s="11" t="s">
        <v>11</v>
      </c>
    </row>
    <row r="19" spans="1:2" ht="15" thickBot="1" x14ac:dyDescent="0.35">
      <c r="A19" s="37" t="s">
        <v>88</v>
      </c>
      <c r="B19" s="11" t="s">
        <v>10</v>
      </c>
    </row>
    <row r="20" spans="1:2" ht="15" thickBot="1" x14ac:dyDescent="0.35">
      <c r="A20" s="37" t="s">
        <v>89</v>
      </c>
      <c r="B20" s="10" t="s">
        <v>17</v>
      </c>
    </row>
    <row r="21" spans="1:2" ht="15" thickBot="1" x14ac:dyDescent="0.35">
      <c r="A21" s="37" t="s">
        <v>90</v>
      </c>
      <c r="B21" s="10" t="s">
        <v>12</v>
      </c>
    </row>
    <row r="22" spans="1:2" ht="15" thickBot="1" x14ac:dyDescent="0.35">
      <c r="A22" s="37" t="s">
        <v>91</v>
      </c>
      <c r="B22" s="10" t="s">
        <v>13</v>
      </c>
    </row>
    <row r="23" spans="1:2" ht="15" thickBot="1" x14ac:dyDescent="0.35">
      <c r="A23" s="37" t="s">
        <v>92</v>
      </c>
      <c r="B23" s="8" t="s">
        <v>18</v>
      </c>
    </row>
    <row r="24" spans="1:2" ht="15" thickBot="1" x14ac:dyDescent="0.35">
      <c r="A24" s="37" t="s">
        <v>93</v>
      </c>
      <c r="B24" s="8" t="s">
        <v>14</v>
      </c>
    </row>
    <row r="25" spans="1:2" ht="15" thickBot="1" x14ac:dyDescent="0.35">
      <c r="A25" s="37" t="s">
        <v>94</v>
      </c>
      <c r="B25" s="8" t="s">
        <v>15</v>
      </c>
    </row>
    <row r="26" spans="1:2" ht="15" thickBot="1" x14ac:dyDescent="0.35">
      <c r="A26" s="37" t="s">
        <v>95</v>
      </c>
      <c r="B26" s="9" t="s">
        <v>16</v>
      </c>
    </row>
    <row r="27" spans="1:2" ht="15" thickBot="1" x14ac:dyDescent="0.35">
      <c r="A27" s="37" t="s">
        <v>96</v>
      </c>
      <c r="B27" s="11" t="s">
        <v>19</v>
      </c>
    </row>
    <row r="28" spans="1:2" ht="15" thickBot="1" x14ac:dyDescent="0.35">
      <c r="A28" s="37" t="s">
        <v>97</v>
      </c>
      <c r="B28" s="11" t="s">
        <v>11</v>
      </c>
    </row>
    <row r="29" spans="1:2" ht="15" thickBot="1" x14ac:dyDescent="0.35">
      <c r="A29" s="37" t="s">
        <v>98</v>
      </c>
      <c r="B29" s="11" t="s">
        <v>10</v>
      </c>
    </row>
    <row r="30" spans="1:2" ht="15" thickBot="1" x14ac:dyDescent="0.35">
      <c r="A30" s="37" t="s">
        <v>99</v>
      </c>
      <c r="B30" s="10" t="s">
        <v>17</v>
      </c>
    </row>
    <row r="31" spans="1:2" ht="15" thickBot="1" x14ac:dyDescent="0.35">
      <c r="A31" s="37" t="s">
        <v>100</v>
      </c>
      <c r="B31" s="10" t="s">
        <v>12</v>
      </c>
    </row>
    <row r="32" spans="1:2" ht="15" thickBot="1" x14ac:dyDescent="0.35">
      <c r="A32" s="37" t="s">
        <v>101</v>
      </c>
      <c r="B32" s="10" t="s">
        <v>13</v>
      </c>
    </row>
    <row r="33" spans="1:2" ht="15" thickBot="1" x14ac:dyDescent="0.35">
      <c r="A33" s="37" t="s">
        <v>102</v>
      </c>
      <c r="B33" s="8" t="s">
        <v>18</v>
      </c>
    </row>
    <row r="34" spans="1:2" ht="15" thickBot="1" x14ac:dyDescent="0.35">
      <c r="A34" s="37" t="s">
        <v>103</v>
      </c>
      <c r="B34" s="8" t="s">
        <v>14</v>
      </c>
    </row>
    <row r="35" spans="1:2" ht="15" thickBot="1" x14ac:dyDescent="0.35">
      <c r="A35" s="37" t="s">
        <v>104</v>
      </c>
      <c r="B35" s="8" t="s">
        <v>15</v>
      </c>
    </row>
    <row r="36" spans="1:2" ht="15" thickBot="1" x14ac:dyDescent="0.35">
      <c r="A36" s="37" t="s">
        <v>105</v>
      </c>
      <c r="B36" s="9" t="s">
        <v>16</v>
      </c>
    </row>
    <row r="37" spans="1:2" ht="15" thickBot="1" x14ac:dyDescent="0.35">
      <c r="A37" s="37" t="s">
        <v>106</v>
      </c>
      <c r="B37" s="11" t="s">
        <v>19</v>
      </c>
    </row>
    <row r="38" spans="1:2" ht="15" thickBot="1" x14ac:dyDescent="0.35">
      <c r="A38" s="37" t="s">
        <v>107</v>
      </c>
      <c r="B38" s="11" t="s">
        <v>11</v>
      </c>
    </row>
    <row r="39" spans="1:2" ht="15" thickBot="1" x14ac:dyDescent="0.35">
      <c r="A39" s="37" t="s">
        <v>108</v>
      </c>
      <c r="B39" s="11" t="s">
        <v>10</v>
      </c>
    </row>
    <row r="40" spans="1:2" ht="15" thickBot="1" x14ac:dyDescent="0.35">
      <c r="A40" s="37" t="s">
        <v>109</v>
      </c>
      <c r="B40" s="10" t="s">
        <v>17</v>
      </c>
    </row>
    <row r="41" spans="1:2" ht="15" thickBot="1" x14ac:dyDescent="0.35">
      <c r="A41" s="37" t="s">
        <v>110</v>
      </c>
      <c r="B41" s="10" t="s">
        <v>12</v>
      </c>
    </row>
    <row r="42" spans="1:2" ht="15" thickBot="1" x14ac:dyDescent="0.35">
      <c r="A42" s="37" t="s">
        <v>111</v>
      </c>
      <c r="B42" s="10" t="s">
        <v>13</v>
      </c>
    </row>
    <row r="43" spans="1:2" ht="15" thickBot="1" x14ac:dyDescent="0.35">
      <c r="A43" s="37" t="s">
        <v>112</v>
      </c>
      <c r="B43" s="8" t="s">
        <v>18</v>
      </c>
    </row>
    <row r="44" spans="1:2" ht="15" thickBot="1" x14ac:dyDescent="0.35">
      <c r="A44" s="37" t="s">
        <v>113</v>
      </c>
      <c r="B44" s="8" t="s">
        <v>14</v>
      </c>
    </row>
    <row r="45" spans="1:2" ht="15" thickBot="1" x14ac:dyDescent="0.35">
      <c r="A45" s="37" t="s">
        <v>114</v>
      </c>
      <c r="B45" s="8" t="s">
        <v>15</v>
      </c>
    </row>
    <row r="46" spans="1:2" ht="15" thickBot="1" x14ac:dyDescent="0.35">
      <c r="A46" s="37" t="s">
        <v>115</v>
      </c>
      <c r="B46" s="9" t="s">
        <v>16</v>
      </c>
    </row>
    <row r="47" spans="1:2" ht="15" thickBot="1" x14ac:dyDescent="0.35">
      <c r="A47" s="37" t="s">
        <v>116</v>
      </c>
      <c r="B47" s="11" t="s">
        <v>19</v>
      </c>
    </row>
    <row r="48" spans="1:2" ht="15" thickBot="1" x14ac:dyDescent="0.35">
      <c r="A48" s="37" t="s">
        <v>117</v>
      </c>
      <c r="B48" s="11" t="s">
        <v>11</v>
      </c>
    </row>
    <row r="49" spans="1:2" ht="15" thickBot="1" x14ac:dyDescent="0.35">
      <c r="A49" s="37" t="s">
        <v>118</v>
      </c>
      <c r="B49" s="11" t="s">
        <v>10</v>
      </c>
    </row>
    <row r="50" spans="1:2" ht="15" thickBot="1" x14ac:dyDescent="0.35">
      <c r="A50" s="37" t="s">
        <v>119</v>
      </c>
      <c r="B50" s="10" t="s">
        <v>17</v>
      </c>
    </row>
    <row r="51" spans="1:2" ht="15" thickBot="1" x14ac:dyDescent="0.35">
      <c r="A51" s="37" t="s">
        <v>120</v>
      </c>
      <c r="B51" s="10" t="s">
        <v>12</v>
      </c>
    </row>
    <row r="52" spans="1:2" ht="15" thickBot="1" x14ac:dyDescent="0.35">
      <c r="A52" s="37" t="s">
        <v>121</v>
      </c>
      <c r="B52" s="10" t="s">
        <v>13</v>
      </c>
    </row>
    <row r="53" spans="1:2" ht="15" thickBot="1" x14ac:dyDescent="0.35">
      <c r="A53" s="37" t="s">
        <v>122</v>
      </c>
      <c r="B53" s="8" t="s">
        <v>18</v>
      </c>
    </row>
    <row r="54" spans="1:2" ht="15" thickBot="1" x14ac:dyDescent="0.35">
      <c r="A54" s="37" t="s">
        <v>123</v>
      </c>
      <c r="B54" s="8" t="s">
        <v>14</v>
      </c>
    </row>
    <row r="55" spans="1:2" ht="15" thickBot="1" x14ac:dyDescent="0.35">
      <c r="A55" s="37" t="s">
        <v>124</v>
      </c>
      <c r="B55" s="8" t="s">
        <v>15</v>
      </c>
    </row>
    <row r="56" spans="1:2" ht="15" thickBot="1" x14ac:dyDescent="0.35">
      <c r="A56" s="37" t="s">
        <v>125</v>
      </c>
      <c r="B56" s="9" t="s">
        <v>16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31A1-33D5-4B9C-9143-1F1F987E6F30}">
  <dimension ref="A2:H11"/>
  <sheetViews>
    <sheetView workbookViewId="0">
      <selection activeCell="E15" sqref="E15"/>
    </sheetView>
  </sheetViews>
  <sheetFormatPr defaultRowHeight="14.4" x14ac:dyDescent="0.3"/>
  <sheetData>
    <row r="2" spans="1:8" x14ac:dyDescent="0.3">
      <c r="B2" t="s">
        <v>42</v>
      </c>
      <c r="C2" s="23" t="s">
        <v>54</v>
      </c>
      <c r="E2" s="24" t="s">
        <v>45</v>
      </c>
      <c r="G2" s="24" t="s">
        <v>46</v>
      </c>
    </row>
    <row r="3" spans="1:8" x14ac:dyDescent="0.3">
      <c r="A3">
        <v>1</v>
      </c>
      <c r="B3" t="s">
        <v>49</v>
      </c>
      <c r="C3" s="13">
        <v>10</v>
      </c>
      <c r="D3" t="s">
        <v>50</v>
      </c>
      <c r="E3" s="13">
        <v>400</v>
      </c>
      <c r="F3" t="s">
        <v>56</v>
      </c>
      <c r="G3" s="13">
        <v>80</v>
      </c>
      <c r="H3" t="s">
        <v>56</v>
      </c>
    </row>
    <row r="4" spans="1:8" x14ac:dyDescent="0.3">
      <c r="A4">
        <v>1</v>
      </c>
      <c r="B4" t="s">
        <v>51</v>
      </c>
      <c r="C4" s="20">
        <v>3990</v>
      </c>
      <c r="D4" t="s">
        <v>52</v>
      </c>
      <c r="E4" s="20">
        <v>1600</v>
      </c>
      <c r="F4" t="s">
        <v>53</v>
      </c>
      <c r="G4" s="20">
        <v>1920</v>
      </c>
      <c r="H4" t="s">
        <v>53</v>
      </c>
    </row>
    <row r="6" spans="1:8" x14ac:dyDescent="0.3">
      <c r="B6" t="s">
        <v>55</v>
      </c>
    </row>
    <row r="8" spans="1:8" x14ac:dyDescent="0.3">
      <c r="B8" t="s">
        <v>65</v>
      </c>
    </row>
    <row r="9" spans="1:8" x14ac:dyDescent="0.3">
      <c r="C9">
        <v>25</v>
      </c>
      <c r="E9">
        <v>1200</v>
      </c>
      <c r="G9">
        <v>240</v>
      </c>
    </row>
    <row r="10" spans="1:8" x14ac:dyDescent="0.3">
      <c r="C10">
        <f>10000-25</f>
        <v>9975</v>
      </c>
      <c r="E10">
        <f>E4*3</f>
        <v>4800</v>
      </c>
      <c r="G10">
        <f>G4*3</f>
        <v>5760</v>
      </c>
    </row>
    <row r="11" spans="1:8" x14ac:dyDescent="0.3">
      <c r="C11">
        <f>SUM(C9:C10)</f>
        <v>10000</v>
      </c>
      <c r="E11">
        <f>SUM(E9:E10)</f>
        <v>6000</v>
      </c>
      <c r="G11">
        <f>SUM(G9:G10)</f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FED2-33A9-4669-813C-7B975080BDCB}">
  <sheetPr>
    <pageSetUpPr fitToPage="1"/>
  </sheetPr>
  <dimension ref="B2:H28"/>
  <sheetViews>
    <sheetView topLeftCell="A18" workbookViewId="0">
      <selection activeCell="C23" sqref="C23"/>
    </sheetView>
  </sheetViews>
  <sheetFormatPr defaultRowHeight="14.4" x14ac:dyDescent="0.3"/>
  <cols>
    <col min="2" max="2" width="11.44140625" customWidth="1"/>
    <col min="4" max="4" width="13.88671875" customWidth="1"/>
    <col min="5" max="5" width="11.21875" customWidth="1"/>
    <col min="6" max="6" width="12.33203125" customWidth="1"/>
  </cols>
  <sheetData>
    <row r="2" spans="2:8" x14ac:dyDescent="0.3">
      <c r="B2" t="s">
        <v>47</v>
      </c>
      <c r="D2" t="s">
        <v>20</v>
      </c>
      <c r="F2" t="s">
        <v>21</v>
      </c>
    </row>
    <row r="4" spans="2:8" x14ac:dyDescent="0.3">
      <c r="B4" t="s">
        <v>22</v>
      </c>
      <c r="C4" s="12" t="s">
        <v>23</v>
      </c>
      <c r="D4" s="13" t="s">
        <v>24</v>
      </c>
      <c r="E4" s="13"/>
      <c r="F4" s="13"/>
    </row>
    <row r="5" spans="2:8" ht="42" customHeight="1" x14ac:dyDescent="0.3">
      <c r="C5" s="12"/>
      <c r="D5" s="27" t="s">
        <v>48</v>
      </c>
      <c r="E5" s="27"/>
      <c r="F5" s="27"/>
    </row>
    <row r="6" spans="2:8" x14ac:dyDescent="0.3">
      <c r="C6" s="12" t="s">
        <v>25</v>
      </c>
      <c r="D6" s="13" t="s">
        <v>26</v>
      </c>
      <c r="E6" s="13"/>
      <c r="F6" s="13"/>
    </row>
    <row r="7" spans="2:8" ht="28.8" customHeight="1" x14ac:dyDescent="0.3">
      <c r="C7" s="12" t="s">
        <v>27</v>
      </c>
      <c r="D7" s="28" t="s">
        <v>28</v>
      </c>
      <c r="E7" s="28"/>
      <c r="F7" s="14"/>
    </row>
    <row r="8" spans="2:8" ht="15.6" customHeight="1" x14ac:dyDescent="0.3">
      <c r="C8" s="12" t="s">
        <v>29</v>
      </c>
      <c r="D8" t="s">
        <v>30</v>
      </c>
    </row>
    <row r="9" spans="2:8" x14ac:dyDescent="0.3">
      <c r="C9" s="12" t="s">
        <v>31</v>
      </c>
      <c r="D9" t="s">
        <v>32</v>
      </c>
    </row>
    <row r="10" spans="2:8" x14ac:dyDescent="0.3">
      <c r="B10" t="s">
        <v>74</v>
      </c>
      <c r="D10" t="s">
        <v>75</v>
      </c>
      <c r="F10" t="s">
        <v>76</v>
      </c>
    </row>
    <row r="11" spans="2:8" ht="30" customHeight="1" x14ac:dyDescent="0.3">
      <c r="B11" t="s">
        <v>70</v>
      </c>
      <c r="D11" t="s">
        <v>71</v>
      </c>
      <c r="F11" t="s">
        <v>72</v>
      </c>
      <c r="H11" t="s">
        <v>73</v>
      </c>
    </row>
    <row r="12" spans="2:8" ht="28.8" customHeight="1" x14ac:dyDescent="0.3">
      <c r="B12" t="s">
        <v>69</v>
      </c>
      <c r="D12" t="s">
        <v>68</v>
      </c>
      <c r="F12" t="s">
        <v>67</v>
      </c>
      <c r="H12" t="s">
        <v>66</v>
      </c>
    </row>
    <row r="14" spans="2:8" x14ac:dyDescent="0.3">
      <c r="B14" t="s">
        <v>33</v>
      </c>
      <c r="D14" t="s">
        <v>34</v>
      </c>
    </row>
    <row r="16" spans="2:8" ht="14.4" customHeight="1" x14ac:dyDescent="0.3">
      <c r="B16" t="s">
        <v>35</v>
      </c>
      <c r="C16" s="12" t="s">
        <v>23</v>
      </c>
      <c r="D16" s="29" t="s">
        <v>36</v>
      </c>
      <c r="E16" s="29"/>
      <c r="F16" s="29"/>
    </row>
    <row r="17" spans="2:6" x14ac:dyDescent="0.3">
      <c r="C17" s="12" t="s">
        <v>25</v>
      </c>
      <c r="D17" s="13" t="s">
        <v>37</v>
      </c>
      <c r="E17" s="13"/>
      <c r="F17" s="13"/>
    </row>
    <row r="18" spans="2:6" ht="46.2" customHeight="1" x14ac:dyDescent="0.3">
      <c r="C18" s="12"/>
      <c r="D18" s="27" t="s">
        <v>48</v>
      </c>
      <c r="E18" s="27"/>
      <c r="F18" s="27"/>
    </row>
    <row r="19" spans="2:6" ht="29.4" customHeight="1" x14ac:dyDescent="0.3">
      <c r="C19" s="12" t="s">
        <v>38</v>
      </c>
      <c r="D19" s="30" t="s">
        <v>28</v>
      </c>
      <c r="E19" s="31"/>
      <c r="F19" s="15"/>
    </row>
    <row r="20" spans="2:6" x14ac:dyDescent="0.3">
      <c r="B20" s="16"/>
      <c r="C20" s="17" t="s">
        <v>29</v>
      </c>
      <c r="D20" s="32" t="s">
        <v>39</v>
      </c>
      <c r="E20" s="33"/>
      <c r="F20" s="34"/>
    </row>
    <row r="21" spans="2:6" ht="31.2" customHeight="1" x14ac:dyDescent="0.3">
      <c r="B21" s="16"/>
      <c r="C21" s="17" t="s">
        <v>31</v>
      </c>
      <c r="D21" s="26" t="s">
        <v>40</v>
      </c>
      <c r="E21" s="26"/>
      <c r="F21" s="26"/>
    </row>
    <row r="22" spans="2:6" x14ac:dyDescent="0.3">
      <c r="B22" s="16"/>
      <c r="C22" s="16"/>
      <c r="D22" s="16"/>
      <c r="E22" s="16"/>
      <c r="F22" s="16"/>
    </row>
    <row r="23" spans="2:6" x14ac:dyDescent="0.3">
      <c r="B23" s="16"/>
      <c r="C23" s="16" t="s">
        <v>41</v>
      </c>
      <c r="D23" s="18"/>
      <c r="E23" s="16"/>
      <c r="F23" s="16"/>
    </row>
    <row r="24" spans="2:6" x14ac:dyDescent="0.3">
      <c r="B24" s="16"/>
      <c r="C24" s="16"/>
      <c r="D24" s="16" t="s">
        <v>42</v>
      </c>
      <c r="E24" s="16" t="s">
        <v>43</v>
      </c>
      <c r="F24" s="16" t="s">
        <v>44</v>
      </c>
    </row>
    <row r="25" spans="2:6" ht="19.2" customHeight="1" x14ac:dyDescent="0.3">
      <c r="B25" s="16"/>
      <c r="C25" s="19" t="s">
        <v>54</v>
      </c>
      <c r="D25" s="19" t="s">
        <v>62</v>
      </c>
      <c r="E25" s="20" t="s">
        <v>63</v>
      </c>
      <c r="F25" s="21" t="s">
        <v>64</v>
      </c>
    </row>
    <row r="26" spans="2:6" ht="19.2" customHeight="1" x14ac:dyDescent="0.3">
      <c r="B26" s="16"/>
      <c r="C26" s="19" t="s">
        <v>45</v>
      </c>
      <c r="D26" s="22" t="s">
        <v>60</v>
      </c>
      <c r="E26" s="20" t="s">
        <v>57</v>
      </c>
      <c r="F26" s="21" t="s">
        <v>59</v>
      </c>
    </row>
    <row r="27" spans="2:6" ht="19.2" customHeight="1" x14ac:dyDescent="0.3">
      <c r="B27" s="16"/>
      <c r="C27" s="19" t="s">
        <v>46</v>
      </c>
      <c r="D27" s="22" t="s">
        <v>61</v>
      </c>
      <c r="E27" s="20" t="s">
        <v>58</v>
      </c>
      <c r="F27" s="21" t="s">
        <v>59</v>
      </c>
    </row>
    <row r="28" spans="2:6" x14ac:dyDescent="0.3">
      <c r="C28">
        <v>0</v>
      </c>
      <c r="D28" t="s">
        <v>77</v>
      </c>
      <c r="E28" s="25" t="s">
        <v>78</v>
      </c>
    </row>
  </sheetData>
  <mergeCells count="7">
    <mergeCell ref="D21:F21"/>
    <mergeCell ref="D5:F5"/>
    <mergeCell ref="D7:E7"/>
    <mergeCell ref="D16:F16"/>
    <mergeCell ref="D18:F18"/>
    <mergeCell ref="D19:E19"/>
    <mergeCell ref="D20:F20"/>
  </mergeCells>
  <pageMargins left="0.25" right="0.25" top="0.75" bottom="0.75" header="0.3" footer="0.3"/>
  <pageSetup scale="90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Plate_map</vt:lpstr>
      <vt:lpstr>dilution_info</vt:lpstr>
      <vt:lpstr>experimental_info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cp:lastPrinted>2025-10-27T15:44:55Z</cp:lastPrinted>
  <dcterms:created xsi:type="dcterms:W3CDTF">2025-10-24T14:11:40Z</dcterms:created>
  <dcterms:modified xsi:type="dcterms:W3CDTF">2025-10-28T23:31:07Z</dcterms:modified>
</cp:coreProperties>
</file>